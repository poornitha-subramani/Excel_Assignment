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8556"/>
  </bookViews>
  <sheets>
    <sheet name="productsales_I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G2" i="1"/>
  <c r="L9" i="1"/>
  <c r="L21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L18" i="1" l="1"/>
  <c r="L15" i="1"/>
  <c r="L12" i="1"/>
  <c r="L6" i="1"/>
  <c r="L3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</calcChain>
</file>

<file path=xl/sharedStrings.xml><?xml version="1.0" encoding="utf-8"?>
<sst xmlns="http://schemas.openxmlformats.org/spreadsheetml/2006/main" count="160" uniqueCount="111">
  <si>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</si>
  <si>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</si>
  <si>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</si>
  <si>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</si>
  <si>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</si>
  <si>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</si>
  <si>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</si>
  <si>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</si>
  <si>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</si>
  <si>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</si>
  <si>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</si>
  <si>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</si>
  <si>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</si>
  <si>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</si>
  <si>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</si>
  <si>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</si>
  <si>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</si>
  <si>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</si>
  <si>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</si>
  <si>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</si>
  <si>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</si>
  <si>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</si>
  <si>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</si>
  <si>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</si>
  <si>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</si>
  <si>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</si>
  <si>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</si>
  <si>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</si>
  <si>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</si>
  <si>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</si>
  <si>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</si>
  <si>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</si>
  <si>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</si>
  <si>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</si>
  <si>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</si>
  <si>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</si>
  <si>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</si>
  <si>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</si>
  <si>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</si>
  <si>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</si>
  <si>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</si>
  <si>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</si>
  <si>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</si>
  <si>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</si>
  <si>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</si>
  <si>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</si>
  <si>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</si>
  <si>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</si>
  <si>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</si>
  <si>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</si>
  <si>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</si>
  <si>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</si>
  <si>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</si>
  <si>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</si>
  <si>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</si>
  <si>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</si>
  <si>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</si>
  <si>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</si>
  <si>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</si>
  <si>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</si>
  <si>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</si>
  <si>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</si>
  <si>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</si>
  <si>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</si>
  <si>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</si>
  <si>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</si>
  <si>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</si>
  <si>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</si>
  <si>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</si>
  <si>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</si>
  <si>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</si>
  <si>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</si>
  <si>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</si>
  <si>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</si>
  <si>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</si>
  <si>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</si>
  <si>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</si>
  <si>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</si>
  <si>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</si>
  <si>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</si>
  <si>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</si>
  <si>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</si>
  <si>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</si>
  <si>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</si>
  <si>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</si>
  <si>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</si>
  <si>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</si>
  <si>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</si>
  <si>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</si>
  <si>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</si>
  <si>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</si>
  <si>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</si>
  <si>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</si>
  <si>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</si>
  <si>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</si>
  <si>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</si>
  <si>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</si>
  <si>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SUM</t>
  </si>
  <si>
    <t>Total price of all products</t>
  </si>
  <si>
    <t>COUNT</t>
  </si>
  <si>
    <t>How many products exists in the dataset</t>
  </si>
  <si>
    <t>MINIMUM PRICE</t>
  </si>
  <si>
    <t>Minimum price of all products</t>
  </si>
  <si>
    <t>MAXIMUM PRICE</t>
  </si>
  <si>
    <t>Maximum price of all products</t>
  </si>
  <si>
    <t>SUMIF</t>
  </si>
  <si>
    <t>Total price of products in the electronics category</t>
  </si>
  <si>
    <t>COUNTIF</t>
  </si>
  <si>
    <t xml:space="preserve">Number of Products with price of less than 100 </t>
  </si>
  <si>
    <t>AVERAGE</t>
  </si>
  <si>
    <t>Average of price of the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</si>
</sst>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</font>
    <font>
      <b/>
      <sz val="10"/>
      <color indexed="8"/>
      <name val="Arial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NumberFormat="1" applyFont="1" applyFill="1" applyBorder="1" applyAlignment="1" applyProtection="1">
      <alignment horizontal="center"/>
    </xf>
    <xf numFmtId="0" fontId="2" fillId="2" borderId="3" xfId="0" applyNumberFormat="1" applyFont="1" applyFill="1" applyBorder="1" applyAlignment="1" applyProtection="1">
      <alignment horizontal="center"/>
    </xf>
    <xf numFmtId="0" fontId="1" fillId="3" borderId="1" xfId="0" applyNumberFormat="1" applyFont="1" applyFill="1" applyBorder="1" applyAlignment="1" applyProtection="1">
      <alignment horizontal="center"/>
    </xf>
    <xf numFmtId="0" fontId="1" fillId="3" borderId="8" xfId="0" applyNumberFormat="1" applyFont="1" applyFill="1" applyBorder="1" applyAlignment="1" applyProtection="1">
      <alignment horizontal="center"/>
    </xf>
    <xf numFmtId="0" fontId="1" fillId="3" borderId="5" xfId="0" applyNumberFormat="1" applyFont="1" applyFill="1" applyBorder="1" applyAlignment="1" applyProtection="1">
      <alignment horizontal="center"/>
    </xf>
    <xf numFmtId="0" fontId="1" fillId="3" borderId="7" xfId="0" applyNumberFormat="1" applyFont="1" applyFill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5" fillId="4" borderId="1" xfId="0" applyFont="1" applyFill="1" applyBorder="1" applyAlignment="1">
      <alignment horizontal="center"/>
    </xf>
    <xf numFmtId="0" fontId="1" fillId="5" borderId="5" xfId="0" applyNumberFormat="1" applyFont="1" applyFill="1" applyBorder="1" applyAlignment="1" applyProtection="1">
      <alignment horizontal="center"/>
    </xf>
    <xf numFmtId="0" fontId="1" fillId="5" borderId="1" xfId="0" applyNumberFormat="1" applyFont="1" applyFill="1" applyBorder="1" applyAlignment="1" applyProtection="1">
      <alignment horizontal="center"/>
    </xf>
    <xf numFmtId="0" fontId="3" fillId="6" borderId="1" xfId="0" applyNumberFormat="1" applyFont="1" applyFill="1" applyBorder="1" applyAlignment="1" applyProtection="1">
      <alignment horizontal="center"/>
    </xf>
    <xf numFmtId="0" fontId="3" fillId="6" borderId="6" xfId="0" applyNumberFormat="1" applyFont="1" applyFill="1" applyBorder="1" applyAlignment="1" applyProtection="1">
      <alignment horizontal="center"/>
    </xf>
    <xf numFmtId="0" fontId="3" fillId="6" borderId="8" xfId="0" applyNumberFormat="1" applyFont="1" applyFill="1" applyBorder="1" applyAlignment="1" applyProtection="1">
      <alignment horizontal="center"/>
    </xf>
    <xf numFmtId="0" fontId="4" fillId="7" borderId="3" xfId="0" applyNumberFormat="1" applyFont="1" applyFill="1" applyBorder="1" applyAlignment="1" applyProtection="1">
      <alignment horizontal="center"/>
    </xf>
    <xf numFmtId="0" fontId="4" fillId="7" borderId="4" xfId="0" applyNumberFormat="1" applyFont="1" applyFill="1" applyBorder="1" applyAlignment="1" applyProtection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solid">
          <fgColor indexed="64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sales_ID" displayName="productsales_ID" ref="A1:J35" totalsRowShown="0" headerRowDxfId="14" dataDxfId="12" headerRowBorderDxfId="13" tableBorderDxfId="11" totalsRowBorderDxfId="10">
  <autoFilter ref="A1:J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Product ID" dataDxfId="9"/>
    <tableColumn id="2" name="Product Name" dataDxfId="8"/>
    <tableColumn id="3" name="Brand Name" dataDxfId="7"/>
    <tableColumn id="4" name="Price ($)" dataDxfId="6"/>
    <tableColumn id="5" name="Quantity" dataDxfId="5"/>
    <tableColumn id="6" name="Category" dataDxfId="4"/>
    <tableColumn id="8" name="Price range" dataDxfId="3">
      <calculatedColumnFormula>IF(productsales_ID[[#This Row],[Price ($)]]&gt;=500,"High Price","Standard Price")</calculatedColumnFormula>
    </tableColumn>
    <tableColumn id="10" name="Day" dataDxfId="2">
      <calculatedColumnFormula>LEFT(productsales_ID[[#This Row],[Product ID]],2)</calculatedColumnFormula>
    </tableColumn>
    <tableColumn id="11" name="Country Code" dataDxfId="1">
      <calculatedColumnFormula>RIGHT(productsales_ID[[#This Row],[Product ID]],2)</calculatedColumnFormula>
    </tableColumn>
    <tableColumn id="12" name="Month" dataDxfId="0">
      <calculatedColumnFormula>MID(productsales_ID[[#This Row],[Product ID]],4,3)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activeCell="A4" sqref="A4"/>
    </sheetView>
  </sheetViews>
  <sheetFormatPr defaultRowHeight="14.4"/>
  <cols>
    <col min="1" max="1" width="31.5546875" bestFit="1" customWidth="1"/>
    <col min="2" max="2" width="15.33203125" customWidth="1"/>
    <col min="3" max="3" width="13.6640625" customWidth="1"/>
    <col min="4" max="4" width="10.21875" customWidth="1"/>
    <col min="5" max="5" width="10.33203125" customWidth="1"/>
    <col min="6" max="6" width="11" bestFit="1" customWidth="1"/>
    <col min="7" max="7" width="28.109375" bestFit="1" customWidth="1"/>
    <col min="8" max="8" width="19.21875" customWidth="1"/>
    <col min="9" max="9" width="13.33203125" bestFit="1" customWidth="1"/>
    <col min="10" max="10" width="17.77734375" bestFit="1" customWidth="1"/>
    <col min="11" max="11" width="52.44140625" customWidth="1"/>
    <col min="12" max="12" width="18.109375" customWidth="1"/>
    <col min="13" max="13" width="42.2187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9" t="s">
        <v>93</v>
      </c>
      <c r="H1" s="19" t="s">
        <v>94</v>
      </c>
      <c r="I1" s="19" t="s">
        <v>95</v>
      </c>
      <c r="J1" s="20" t="s">
        <v>96</v>
      </c>
    </row>
    <row r="2" spans="1:12">
      <c r="A2" s="14" t="s">
        <v>6</v>
      </c>
      <c r="B2" s="15" t="s">
        <v>7</v>
      </c>
      <c r="C2" s="15" t="s">
        <v>8</v>
      </c>
      <c r="D2" s="15">
        <v>1000</v>
      </c>
      <c r="E2" s="15">
        <v>30</v>
      </c>
      <c r="F2" s="15" t="s">
        <v>9</v>
      </c>
      <c r="G2" s="16" t="str">
        <f>IF(productsales_ID[[#This Row],[Price ($)]]&gt;=500,"High Price","Standard Price")</f>
        <v>High Price</v>
      </c>
      <c r="H2" s="16" t="str">
        <f>LEFT(productsales_ID[[#This Row],[Product ID]],2)</f>
        <v>28</v>
      </c>
      <c r="I2" s="16" t="str">
        <f>RIGHT(productsales_ID[[#This Row],[Product ID]],2)</f>
        <v>US</v>
      </c>
      <c r="J2" s="17" t="str">
        <f>MID(productsales_ID[[#This Row],[Product ID]],4,3)</f>
        <v>JAN</v>
      </c>
      <c r="K2" s="13" t="s">
        <v>97</v>
      </c>
      <c r="L2" s="12"/>
    </row>
    <row r="3" spans="1:12">
      <c r="A3" s="5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16" t="str">
        <f>IF(productsales_ID[[#This Row],[Price ($)]]&gt;=500,"High Price","Standard Price")</f>
        <v>Standard Price</v>
      </c>
      <c r="H3" s="16" t="str">
        <f>LEFT(productsales_ID[[#This Row],[Product ID]],2)</f>
        <v>15</v>
      </c>
      <c r="I3" s="16" t="str">
        <f>RIGHT(productsales_ID[[#This Row],[Product ID]],2)</f>
        <v>US</v>
      </c>
      <c r="J3" s="17" t="str">
        <f>MID(productsales_ID[[#This Row],[Product ID]],4,3)</f>
        <v>FEB</v>
      </c>
      <c r="K3" s="21" t="s">
        <v>98</v>
      </c>
      <c r="L3" s="9">
        <f>SUM(productsales_ID[Price ($)])</f>
        <v>10100</v>
      </c>
    </row>
    <row r="4" spans="1:12">
      <c r="A4" s="14" t="s">
        <v>14</v>
      </c>
      <c r="B4" s="15" t="s">
        <v>15</v>
      </c>
      <c r="C4" s="15" t="s">
        <v>16</v>
      </c>
      <c r="D4" s="15">
        <v>130</v>
      </c>
      <c r="E4" s="15">
        <v>40</v>
      </c>
      <c r="F4" s="15" t="s">
        <v>17</v>
      </c>
      <c r="G4" s="16" t="str">
        <f>IF(productsales_ID[[#This Row],[Price ($)]]&gt;=500,"High Price","Standard Price")</f>
        <v>Standard Price</v>
      </c>
      <c r="H4" s="16" t="str">
        <f>LEFT(productsales_ID[[#This Row],[Product ID]],2)</f>
        <v>03</v>
      </c>
      <c r="I4" s="16" t="str">
        <f>RIGHT(productsales_ID[[#This Row],[Product ID]],2)</f>
        <v>US</v>
      </c>
      <c r="J4" s="17" t="str">
        <f>MID(productsales_ID[[#This Row],[Product ID]],4,3)</f>
        <v>MAR</v>
      </c>
      <c r="K4" s="9"/>
      <c r="L4" s="9"/>
    </row>
    <row r="5" spans="1:12">
      <c r="A5" s="5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16" t="str">
        <f>IF(productsales_ID[[#This Row],[Price ($)]]&gt;=500,"High Price","Standard Price")</f>
        <v>High Price</v>
      </c>
      <c r="H5" s="16" t="str">
        <f>LEFT(productsales_ID[[#This Row],[Product ID]],2)</f>
        <v>11</v>
      </c>
      <c r="I5" s="16" t="str">
        <f>RIGHT(productsales_ID[[#This Row],[Product ID]],2)</f>
        <v>US</v>
      </c>
      <c r="J5" s="17" t="str">
        <f>MID(productsales_ID[[#This Row],[Product ID]],4,3)</f>
        <v>APR</v>
      </c>
      <c r="K5" s="13" t="s">
        <v>99</v>
      </c>
      <c r="L5" s="11"/>
    </row>
    <row r="6" spans="1:12">
      <c r="A6" s="14" t="s">
        <v>21</v>
      </c>
      <c r="B6" s="15" t="s">
        <v>22</v>
      </c>
      <c r="C6" s="15" t="s">
        <v>23</v>
      </c>
      <c r="D6" s="15">
        <v>70</v>
      </c>
      <c r="E6" s="15">
        <v>20</v>
      </c>
      <c r="F6" s="15" t="s">
        <v>24</v>
      </c>
      <c r="G6" s="16" t="str">
        <f>IF(productsales_ID[[#This Row],[Price ($)]]&gt;=500,"High Price","Standard Price")</f>
        <v>Standard Price</v>
      </c>
      <c r="H6" s="16" t="str">
        <f>LEFT(productsales_ID[[#This Row],[Product ID]],2)</f>
        <v>22</v>
      </c>
      <c r="I6" s="16" t="str">
        <f>RIGHT(productsales_ID[[#This Row],[Product ID]],2)</f>
        <v>US</v>
      </c>
      <c r="J6" s="17" t="str">
        <f>MID(productsales_ID[[#This Row],[Product ID]],4,3)</f>
        <v>MAY</v>
      </c>
      <c r="K6" s="21" t="s">
        <v>100</v>
      </c>
      <c r="L6" s="9">
        <f>COUNTA(productsales_ID[Product Name])</f>
        <v>34</v>
      </c>
    </row>
    <row r="7" spans="1:12">
      <c r="A7" s="5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16" t="str">
        <f>IF(productsales_ID[[#This Row],[Price ($)]]&gt;=500,"High Price","Standard Price")</f>
        <v>Standard Price</v>
      </c>
      <c r="H7" s="16" t="str">
        <f>LEFT(productsales_ID[[#This Row],[Product ID]],2)</f>
        <v>07</v>
      </c>
      <c r="I7" s="16" t="str">
        <f>RIGHT(productsales_ID[[#This Row],[Product ID]],2)</f>
        <v>UK</v>
      </c>
      <c r="J7" s="17" t="str">
        <f>MID(productsales_ID[[#This Row],[Product ID]],4,3)</f>
        <v>JUN</v>
      </c>
      <c r="K7" s="9"/>
      <c r="L7" s="9"/>
    </row>
    <row r="8" spans="1:12">
      <c r="A8" s="14" t="s">
        <v>28</v>
      </c>
      <c r="B8" s="15" t="s">
        <v>29</v>
      </c>
      <c r="C8" s="15" t="s">
        <v>30</v>
      </c>
      <c r="D8" s="15">
        <v>30</v>
      </c>
      <c r="E8" s="15">
        <v>5</v>
      </c>
      <c r="F8" s="15" t="s">
        <v>13</v>
      </c>
      <c r="G8" s="16" t="str">
        <f>IF(productsales_ID[[#This Row],[Price ($)]]&gt;=500,"High Price","Standard Price")</f>
        <v>Standard Price</v>
      </c>
      <c r="H8" s="16" t="str">
        <f>LEFT(productsales_ID[[#This Row],[Product ID]],2)</f>
        <v>19</v>
      </c>
      <c r="I8" s="16" t="str">
        <f>RIGHT(productsales_ID[[#This Row],[Product ID]],2)</f>
        <v>UK</v>
      </c>
      <c r="J8" s="17" t="str">
        <f>MID(productsales_ID[[#This Row],[Product ID]],4,3)</f>
        <v>JUL</v>
      </c>
      <c r="K8" s="13" t="s">
        <v>109</v>
      </c>
      <c r="L8" s="11"/>
    </row>
    <row r="9" spans="1:12">
      <c r="A9" s="5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16" t="str">
        <f>IF(productsales_ID[[#This Row],[Price ($)]]&gt;=500,"High Price","Standard Price")</f>
        <v>Standard Price</v>
      </c>
      <c r="H9" s="16" t="str">
        <f>LEFT(productsales_ID[[#This Row],[Product ID]],2)</f>
        <v>23</v>
      </c>
      <c r="I9" s="16" t="str">
        <f>RIGHT(productsales_ID[[#This Row],[Product ID]],2)</f>
        <v>UK</v>
      </c>
      <c r="J9" s="17" t="str">
        <f>MID(productsales_ID[[#This Row],[Product ID]],4,3)</f>
        <v>AUG</v>
      </c>
      <c r="K9" s="21" t="s">
        <v>110</v>
      </c>
      <c r="L9" s="9">
        <f>AVERAGE(productsales_ID[Price ($)])</f>
        <v>297.05882352941177</v>
      </c>
    </row>
    <row r="10" spans="1:12">
      <c r="A10" s="14" t="s">
        <v>34</v>
      </c>
      <c r="B10" s="15" t="s">
        <v>35</v>
      </c>
      <c r="C10" s="15" t="s">
        <v>36</v>
      </c>
      <c r="D10" s="15">
        <v>500</v>
      </c>
      <c r="E10" s="15">
        <v>50</v>
      </c>
      <c r="F10" s="15" t="s">
        <v>9</v>
      </c>
      <c r="G10" s="16" t="str">
        <f>IF(productsales_ID[[#This Row],[Price ($)]]&gt;=500,"High Price","Standard Price")</f>
        <v>High Price</v>
      </c>
      <c r="H10" s="16" t="str">
        <f>LEFT(productsales_ID[[#This Row],[Product ID]],2)</f>
        <v>05</v>
      </c>
      <c r="I10" s="16" t="str">
        <f>RIGHT(productsales_ID[[#This Row],[Product ID]],2)</f>
        <v>UK</v>
      </c>
      <c r="J10" s="17" t="str">
        <f>MID(productsales_ID[[#This Row],[Product ID]],4,3)</f>
        <v>SEP</v>
      </c>
      <c r="K10" s="9"/>
      <c r="L10" s="9"/>
    </row>
    <row r="11" spans="1:12">
      <c r="A11" s="5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16" t="str">
        <f>IF(productsales_ID[[#This Row],[Price ($)]]&gt;=500,"High Price","Standard Price")</f>
        <v>Standard Price</v>
      </c>
      <c r="H11" s="16" t="str">
        <f>LEFT(productsales_ID[[#This Row],[Product ID]],2)</f>
        <v>14</v>
      </c>
      <c r="I11" s="16" t="str">
        <f>RIGHT(productsales_ID[[#This Row],[Product ID]],2)</f>
        <v>UK</v>
      </c>
      <c r="J11" s="17" t="str">
        <f>MID(productsales_ID[[#This Row],[Product ID]],4,3)</f>
        <v>OCT</v>
      </c>
      <c r="K11" s="13" t="s">
        <v>101</v>
      </c>
      <c r="L11" s="11"/>
    </row>
    <row r="12" spans="1:12">
      <c r="A12" s="14" t="s">
        <v>40</v>
      </c>
      <c r="B12" s="15" t="s">
        <v>7</v>
      </c>
      <c r="C12" s="15" t="s">
        <v>41</v>
      </c>
      <c r="D12" s="15">
        <v>950</v>
      </c>
      <c r="E12" s="15">
        <v>25</v>
      </c>
      <c r="F12" s="15" t="s">
        <v>9</v>
      </c>
      <c r="G12" s="16" t="str">
        <f>IF(productsales_ID[[#This Row],[Price ($)]]&gt;=500,"High Price","Standard Price")</f>
        <v>High Price</v>
      </c>
      <c r="H12" s="16" t="str">
        <f>LEFT(productsales_ID[[#This Row],[Product ID]],2)</f>
        <v>17</v>
      </c>
      <c r="I12" s="16" t="str">
        <f>RIGHT(productsales_ID[[#This Row],[Product ID]],2)</f>
        <v>IN</v>
      </c>
      <c r="J12" s="17" t="str">
        <f>MID(productsales_ID[[#This Row],[Product ID]],4,3)</f>
        <v>JUN</v>
      </c>
      <c r="K12" s="21" t="s">
        <v>102</v>
      </c>
      <c r="L12" s="9">
        <f>MIN(productsales_ID[Price ($)])</f>
        <v>30</v>
      </c>
    </row>
    <row r="13" spans="1:12">
      <c r="A13" s="5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16" t="str">
        <f>IF(productsales_ID[[#This Row],[Price ($)]]&gt;=500,"High Price","Standard Price")</f>
        <v>Standard Price</v>
      </c>
      <c r="H13" s="16" t="str">
        <f>LEFT(productsales_ID[[#This Row],[Product ID]],2)</f>
        <v>25</v>
      </c>
      <c r="I13" s="16" t="str">
        <f>RIGHT(productsales_ID[[#This Row],[Product ID]],2)</f>
        <v>AU</v>
      </c>
      <c r="J13" s="17" t="str">
        <f>MID(productsales_ID[[#This Row],[Product ID]],4,3)</f>
        <v>NOV</v>
      </c>
      <c r="K13" s="10"/>
      <c r="L13" s="10"/>
    </row>
    <row r="14" spans="1:12">
      <c r="A14" s="14" t="s">
        <v>43</v>
      </c>
      <c r="B14" s="15" t="s">
        <v>15</v>
      </c>
      <c r="C14" s="15" t="s">
        <v>44</v>
      </c>
      <c r="D14" s="15">
        <v>120</v>
      </c>
      <c r="E14" s="15">
        <v>35</v>
      </c>
      <c r="F14" s="15" t="s">
        <v>17</v>
      </c>
      <c r="G14" s="16" t="str">
        <f>IF(productsales_ID[[#This Row],[Price ($)]]&gt;=500,"High Price","Standard Price")</f>
        <v>Standard Price</v>
      </c>
      <c r="H14" s="16" t="str">
        <f>LEFT(productsales_ID[[#This Row],[Product ID]],2)</f>
        <v>08</v>
      </c>
      <c r="I14" s="16" t="str">
        <f>RIGHT(productsales_ID[[#This Row],[Product ID]],2)</f>
        <v>DE</v>
      </c>
      <c r="J14" s="17" t="str">
        <f>MID(productsales_ID[[#This Row],[Product ID]],4,3)</f>
        <v>DEC</v>
      </c>
      <c r="K14" s="13" t="s">
        <v>103</v>
      </c>
      <c r="L14" s="12"/>
    </row>
    <row r="15" spans="1:12">
      <c r="A15" s="5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16" t="str">
        <f>IF(productsales_ID[[#This Row],[Price ($)]]&gt;=500,"High Price","Standard Price")</f>
        <v>Standard Price</v>
      </c>
      <c r="H15" s="16" t="str">
        <f>LEFT(productsales_ID[[#This Row],[Product ID]],2)</f>
        <v>18</v>
      </c>
      <c r="I15" s="16" t="str">
        <f>RIGHT(productsales_ID[[#This Row],[Product ID]],2)</f>
        <v>CA</v>
      </c>
      <c r="J15" s="17" t="str">
        <f>MID(productsales_ID[[#This Row],[Product ID]],4,3)</f>
        <v>FEB</v>
      </c>
      <c r="K15" s="21" t="s">
        <v>104</v>
      </c>
      <c r="L15" s="9">
        <f>MAX(productsales_ID[Price ($)])</f>
        <v>1000</v>
      </c>
    </row>
    <row r="16" spans="1:12">
      <c r="A16" s="14" t="s">
        <v>48</v>
      </c>
      <c r="B16" s="15" t="s">
        <v>26</v>
      </c>
      <c r="C16" s="15" t="s">
        <v>49</v>
      </c>
      <c r="D16" s="15">
        <v>250</v>
      </c>
      <c r="E16" s="15">
        <v>20</v>
      </c>
      <c r="F16" s="15" t="s">
        <v>9</v>
      </c>
      <c r="G16" s="16" t="str">
        <f>IF(productsales_ID[[#This Row],[Price ($)]]&gt;=500,"High Price","Standard Price")</f>
        <v>Standard Price</v>
      </c>
      <c r="H16" s="16" t="str">
        <f>LEFT(productsales_ID[[#This Row],[Product ID]],2)</f>
        <v>16</v>
      </c>
      <c r="I16" s="16" t="str">
        <f>RIGHT(productsales_ID[[#This Row],[Product ID]],2)</f>
        <v>ES</v>
      </c>
      <c r="J16" s="17" t="str">
        <f>MID(productsales_ID[[#This Row],[Product ID]],4,3)</f>
        <v>APR</v>
      </c>
      <c r="K16" s="10"/>
      <c r="L16" s="10"/>
    </row>
    <row r="17" spans="1:12">
      <c r="A17" s="5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16" t="str">
        <f>IF(productsales_ID[[#This Row],[Price ($)]]&gt;=500,"High Price","Standard Price")</f>
        <v>Standard Price</v>
      </c>
      <c r="H17" s="16" t="str">
        <f>LEFT(productsales_ID[[#This Row],[Product ID]],2)</f>
        <v>21</v>
      </c>
      <c r="I17" s="16" t="str">
        <f>RIGHT(productsales_ID[[#This Row],[Product ID]],2)</f>
        <v>CA</v>
      </c>
      <c r="J17" s="17" t="str">
        <f>MID(productsales_ID[[#This Row],[Product ID]],4,3)</f>
        <v>AUG</v>
      </c>
      <c r="K17" s="13" t="s">
        <v>105</v>
      </c>
      <c r="L17" s="12"/>
    </row>
    <row r="18" spans="1:12">
      <c r="A18" s="14" t="s">
        <v>54</v>
      </c>
      <c r="B18" s="15" t="s">
        <v>46</v>
      </c>
      <c r="C18" s="15" t="s">
        <v>55</v>
      </c>
      <c r="D18" s="15">
        <v>160</v>
      </c>
      <c r="E18" s="15">
        <v>15</v>
      </c>
      <c r="F18" s="15" t="s">
        <v>9</v>
      </c>
      <c r="G18" s="16" t="str">
        <f>IF(productsales_ID[[#This Row],[Price ($)]]&gt;=500,"High Price","Standard Price")</f>
        <v>Standard Price</v>
      </c>
      <c r="H18" s="16" t="str">
        <f>LEFT(productsales_ID[[#This Row],[Product ID]],2)</f>
        <v>20</v>
      </c>
      <c r="I18" s="16" t="str">
        <f>RIGHT(productsales_ID[[#This Row],[Product ID]],2)</f>
        <v>CN</v>
      </c>
      <c r="J18" s="17" t="str">
        <f>MID(productsales_ID[[#This Row],[Product ID]],4,3)</f>
        <v>AUG</v>
      </c>
      <c r="K18" s="21" t="s">
        <v>106</v>
      </c>
      <c r="L18" s="9">
        <f>SUMIF(productsales_ID[Category],"Electronics",productsales_ID[Price ($)])</f>
        <v>8050</v>
      </c>
    </row>
    <row r="19" spans="1:12">
      <c r="A19" s="5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16" t="str">
        <f>IF(productsales_ID[[#This Row],[Price ($)]]&gt;=500,"High Price","Standard Price")</f>
        <v>High Price</v>
      </c>
      <c r="H19" s="16" t="str">
        <f>LEFT(productsales_ID[[#This Row],[Product ID]],2)</f>
        <v>27</v>
      </c>
      <c r="I19" s="16" t="str">
        <f>RIGHT(productsales_ID[[#This Row],[Product ID]],2)</f>
        <v>IT</v>
      </c>
      <c r="J19" s="17" t="str">
        <f>MID(productsales_ID[[#This Row],[Product ID]],4,3)</f>
        <v>JAN</v>
      </c>
      <c r="K19" s="10"/>
      <c r="L19" s="10"/>
    </row>
    <row r="20" spans="1:12">
      <c r="A20" s="14" t="s">
        <v>58</v>
      </c>
      <c r="B20" s="15" t="s">
        <v>59</v>
      </c>
      <c r="C20" s="15" t="s">
        <v>60</v>
      </c>
      <c r="D20" s="15">
        <v>150</v>
      </c>
      <c r="E20" s="15">
        <v>15</v>
      </c>
      <c r="F20" s="15" t="s">
        <v>13</v>
      </c>
      <c r="G20" s="16" t="str">
        <f>IF(productsales_ID[[#This Row],[Price ($)]]&gt;=500,"High Price","Standard Price")</f>
        <v>Standard Price</v>
      </c>
      <c r="H20" s="16" t="str">
        <f>LEFT(productsales_ID[[#This Row],[Product ID]],2)</f>
        <v>01</v>
      </c>
      <c r="I20" s="16" t="str">
        <f>RIGHT(productsales_ID[[#This Row],[Product ID]],2)</f>
        <v>UK</v>
      </c>
      <c r="J20" s="17" t="str">
        <f>MID(productsales_ID[[#This Row],[Product ID]],4,3)</f>
        <v>MAR</v>
      </c>
      <c r="K20" s="13" t="s">
        <v>107</v>
      </c>
      <c r="L20" s="12"/>
    </row>
    <row r="21" spans="1:12">
      <c r="A21" s="5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16" t="str">
        <f>IF(productsales_ID[[#This Row],[Price ($)]]&gt;=500,"High Price","Standard Price")</f>
        <v>Standard Price</v>
      </c>
      <c r="H21" s="16" t="str">
        <f>LEFT(productsales_ID[[#This Row],[Product ID]],2)</f>
        <v>14</v>
      </c>
      <c r="I21" s="16" t="str">
        <f>RIGHT(productsales_ID[[#This Row],[Product ID]],2)</f>
        <v>US</v>
      </c>
      <c r="J21" s="17" t="str">
        <f>MID(productsales_ID[[#This Row],[Product ID]],4,3)</f>
        <v>AUG</v>
      </c>
      <c r="K21" s="21" t="s">
        <v>108</v>
      </c>
      <c r="L21" s="9">
        <f>COUNTIF(productsales_ID[Price ($)],"&lt;100")</f>
        <v>11</v>
      </c>
    </row>
    <row r="22" spans="1:12">
      <c r="A22" s="14" t="s">
        <v>64</v>
      </c>
      <c r="B22" s="15" t="s">
        <v>65</v>
      </c>
      <c r="C22" s="15" t="s">
        <v>66</v>
      </c>
      <c r="D22" s="15">
        <v>700</v>
      </c>
      <c r="E22" s="15">
        <v>50</v>
      </c>
      <c r="F22" s="15" t="s">
        <v>9</v>
      </c>
      <c r="G22" s="16" t="str">
        <f>IF(productsales_ID[[#This Row],[Price ($)]]&gt;=500,"High Price","Standard Price")</f>
        <v>High Price</v>
      </c>
      <c r="H22" s="16" t="str">
        <f>LEFT(productsales_ID[[#This Row],[Product ID]],2)</f>
        <v>14</v>
      </c>
      <c r="I22" s="16" t="str">
        <f>RIGHT(productsales_ID[[#This Row],[Product ID]],2)</f>
        <v>RU</v>
      </c>
      <c r="J22" s="17" t="str">
        <f>MID(productsales_ID[[#This Row],[Product ID]],4,3)</f>
        <v>MAY</v>
      </c>
    </row>
    <row r="23" spans="1:12">
      <c r="A23" s="5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16" t="str">
        <f>IF(productsales_ID[[#This Row],[Price ($)]]&gt;=500,"High Price","Standard Price")</f>
        <v>Standard Price</v>
      </c>
      <c r="H23" s="16" t="str">
        <f>LEFT(productsales_ID[[#This Row],[Product ID]],2)</f>
        <v>09</v>
      </c>
      <c r="I23" s="16" t="str">
        <f>RIGHT(productsales_ID[[#This Row],[Product ID]],2)</f>
        <v>CA</v>
      </c>
      <c r="J23" s="17" t="str">
        <f>MID(productsales_ID[[#This Row],[Product ID]],4,3)</f>
        <v>JAN</v>
      </c>
    </row>
    <row r="24" spans="1:12">
      <c r="A24" s="14" t="s">
        <v>70</v>
      </c>
      <c r="B24" s="15" t="s">
        <v>71</v>
      </c>
      <c r="C24" s="15" t="s">
        <v>72</v>
      </c>
      <c r="D24" s="15">
        <v>150</v>
      </c>
      <c r="E24" s="15">
        <v>30</v>
      </c>
      <c r="F24" s="15" t="s">
        <v>9</v>
      </c>
      <c r="G24" s="16" t="str">
        <f>IF(productsales_ID[[#This Row],[Price ($)]]&gt;=500,"High Price","Standard Price")</f>
        <v>Standard Price</v>
      </c>
      <c r="H24" s="16" t="str">
        <f>LEFT(productsales_ID[[#This Row],[Product ID]],2)</f>
        <v>19</v>
      </c>
      <c r="I24" s="16" t="str">
        <f>RIGHT(productsales_ID[[#This Row],[Product ID]],2)</f>
        <v>BR</v>
      </c>
      <c r="J24" s="17" t="str">
        <f>MID(productsales_ID[[#This Row],[Product ID]],4,3)</f>
        <v>JUL</v>
      </c>
    </row>
    <row r="25" spans="1:12">
      <c r="A25" s="5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16" t="str">
        <f>IF(productsales_ID[[#This Row],[Price ($)]]&gt;=500,"High Price","Standard Price")</f>
        <v>Standard Price</v>
      </c>
      <c r="H25" s="16" t="str">
        <f>LEFT(productsales_ID[[#This Row],[Product ID]],2)</f>
        <v>21</v>
      </c>
      <c r="I25" s="16" t="str">
        <f>RIGHT(productsales_ID[[#This Row],[Product ID]],2)</f>
        <v>CA</v>
      </c>
      <c r="J25" s="17" t="str">
        <f>MID(productsales_ID[[#This Row],[Product ID]],4,3)</f>
        <v>AUG</v>
      </c>
    </row>
    <row r="26" spans="1:12">
      <c r="A26" s="14" t="s">
        <v>73</v>
      </c>
      <c r="B26" s="15" t="s">
        <v>19</v>
      </c>
      <c r="C26" s="15" t="s">
        <v>74</v>
      </c>
      <c r="D26" s="15">
        <v>800</v>
      </c>
      <c r="E26" s="15">
        <v>45</v>
      </c>
      <c r="F26" s="15" t="s">
        <v>9</v>
      </c>
      <c r="G26" s="16" t="str">
        <f>IF(productsales_ID[[#This Row],[Price ($)]]&gt;=500,"High Price","Standard Price")</f>
        <v>High Price</v>
      </c>
      <c r="H26" s="16" t="str">
        <f>LEFT(productsales_ID[[#This Row],[Product ID]],2)</f>
        <v>29</v>
      </c>
      <c r="I26" s="16" t="str">
        <f>RIGHT(productsales_ID[[#This Row],[Product ID]],2)</f>
        <v>CA</v>
      </c>
      <c r="J26" s="17" t="str">
        <f>MID(productsales_ID[[#This Row],[Product ID]],4,3)</f>
        <v>SEP</v>
      </c>
    </row>
    <row r="27" spans="1:12">
      <c r="A27" s="5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16" t="str">
        <f>IF(productsales_ID[[#This Row],[Price ($)]]&gt;=500,"High Price","Standard Price")</f>
        <v>Standard Price</v>
      </c>
      <c r="H27" s="16" t="str">
        <f>LEFT(productsales_ID[[#This Row],[Product ID]],2)</f>
        <v>03</v>
      </c>
      <c r="I27" s="16" t="str">
        <f>RIGHT(productsales_ID[[#This Row],[Product ID]],2)</f>
        <v>CA</v>
      </c>
      <c r="J27" s="17" t="str">
        <f>MID(productsales_ID[[#This Row],[Product ID]],4,3)</f>
        <v>JUN</v>
      </c>
    </row>
    <row r="28" spans="1:12">
      <c r="A28" s="14" t="s">
        <v>77</v>
      </c>
      <c r="B28" s="15" t="s">
        <v>32</v>
      </c>
      <c r="C28" s="15" t="s">
        <v>78</v>
      </c>
      <c r="D28" s="15">
        <v>400</v>
      </c>
      <c r="E28" s="15">
        <v>40</v>
      </c>
      <c r="F28" s="15" t="s">
        <v>17</v>
      </c>
      <c r="G28" s="16" t="str">
        <f>IF(productsales_ID[[#This Row],[Price ($)]]&gt;=500,"High Price","Standard Price")</f>
        <v>Standard Price</v>
      </c>
      <c r="H28" s="16" t="str">
        <f>LEFT(productsales_ID[[#This Row],[Product ID]],2)</f>
        <v>11</v>
      </c>
      <c r="I28" s="16" t="str">
        <f>RIGHT(productsales_ID[[#This Row],[Product ID]],2)</f>
        <v>CA</v>
      </c>
      <c r="J28" s="17" t="str">
        <f>MID(productsales_ID[[#This Row],[Product ID]],4,3)</f>
        <v>JUL</v>
      </c>
    </row>
    <row r="29" spans="1:12">
      <c r="A29" s="5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16" t="str">
        <f>IF(productsales_ID[[#This Row],[Price ($)]]&gt;=500,"High Price","Standard Price")</f>
        <v>Standard Price</v>
      </c>
      <c r="H29" s="16" t="str">
        <f>LEFT(productsales_ID[[#This Row],[Product ID]],2)</f>
        <v>16</v>
      </c>
      <c r="I29" s="16" t="str">
        <f>RIGHT(productsales_ID[[#This Row],[Product ID]],2)</f>
        <v>ES</v>
      </c>
      <c r="J29" s="17" t="str">
        <f>MID(productsales_ID[[#This Row],[Product ID]],4,3)</f>
        <v>APR</v>
      </c>
    </row>
    <row r="30" spans="1:12">
      <c r="A30" s="14" t="s">
        <v>79</v>
      </c>
      <c r="B30" s="15" t="s">
        <v>80</v>
      </c>
      <c r="C30" s="15" t="s">
        <v>81</v>
      </c>
      <c r="D30" s="15">
        <v>60</v>
      </c>
      <c r="E30" s="15">
        <v>30</v>
      </c>
      <c r="F30" s="15" t="s">
        <v>13</v>
      </c>
      <c r="G30" s="16" t="str">
        <f>IF(productsales_ID[[#This Row],[Price ($)]]&gt;=500,"High Price","Standard Price")</f>
        <v>Standard Price</v>
      </c>
      <c r="H30" s="16" t="str">
        <f>LEFT(productsales_ID[[#This Row],[Product ID]],2)</f>
        <v>07</v>
      </c>
      <c r="I30" s="16" t="str">
        <f>RIGHT(productsales_ID[[#This Row],[Product ID]],2)</f>
        <v>CA</v>
      </c>
      <c r="J30" s="17" t="str">
        <f>MID(productsales_ID[[#This Row],[Product ID]],4,3)</f>
        <v>MAR</v>
      </c>
    </row>
    <row r="31" spans="1:12">
      <c r="A31" s="5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16" t="str">
        <f>IF(productsales_ID[[#This Row],[Price ($)]]&gt;=500,"High Price","Standard Price")</f>
        <v>Standard Price</v>
      </c>
      <c r="H31" s="16" t="str">
        <f>LEFT(productsales_ID[[#This Row],[Product ID]],2)</f>
        <v>13</v>
      </c>
      <c r="I31" s="16" t="str">
        <f>RIGHT(productsales_ID[[#This Row],[Product ID]],2)</f>
        <v>CA</v>
      </c>
      <c r="J31" s="17" t="str">
        <f>MID(productsales_ID[[#This Row],[Product ID]],4,3)</f>
        <v>APR</v>
      </c>
    </row>
    <row r="32" spans="1:12">
      <c r="A32" s="14" t="s">
        <v>85</v>
      </c>
      <c r="B32" s="15" t="s">
        <v>71</v>
      </c>
      <c r="C32" s="15" t="s">
        <v>86</v>
      </c>
      <c r="D32" s="15">
        <v>130</v>
      </c>
      <c r="E32" s="15">
        <v>5</v>
      </c>
      <c r="F32" s="15" t="s">
        <v>9</v>
      </c>
      <c r="G32" s="16" t="str">
        <f>IF(productsales_ID[[#This Row],[Price ($)]]&gt;=500,"High Price","Standard Price")</f>
        <v>Standard Price</v>
      </c>
      <c r="H32" s="16" t="str">
        <f>LEFT(productsales_ID[[#This Row],[Product ID]],2)</f>
        <v>24</v>
      </c>
      <c r="I32" s="16" t="str">
        <f>RIGHT(productsales_ID[[#This Row],[Product ID]],2)</f>
        <v>CA</v>
      </c>
      <c r="J32" s="17" t="str">
        <f>MID(productsales_ID[[#This Row],[Product ID]],4,3)</f>
        <v>MAY</v>
      </c>
    </row>
    <row r="33" spans="1:11">
      <c r="A33" s="5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16" t="str">
        <f>IF(productsales_ID[[#This Row],[Price ($)]]&gt;=500,"High Price","Standard Price")</f>
        <v>Standard Price</v>
      </c>
      <c r="H33" s="16" t="str">
        <f>LEFT(productsales_ID[[#This Row],[Product ID]],2)</f>
        <v>02</v>
      </c>
      <c r="I33" s="16" t="str">
        <f>RIGHT(productsales_ID[[#This Row],[Product ID]],2)</f>
        <v>CA</v>
      </c>
      <c r="J33" s="17" t="str">
        <f>MID(productsales_ID[[#This Row],[Product ID]],4,3)</f>
        <v>DEC</v>
      </c>
    </row>
    <row r="34" spans="1:11">
      <c r="A34" s="14" t="s">
        <v>40</v>
      </c>
      <c r="B34" s="15" t="s">
        <v>7</v>
      </c>
      <c r="C34" s="15" t="s">
        <v>41</v>
      </c>
      <c r="D34" s="15">
        <v>950</v>
      </c>
      <c r="E34" s="15">
        <v>25</v>
      </c>
      <c r="F34" s="15" t="s">
        <v>9</v>
      </c>
      <c r="G34" s="16" t="str">
        <f>IF(productsales_ID[[#This Row],[Price ($)]]&gt;=500,"High Price","Standard Price")</f>
        <v>High Price</v>
      </c>
      <c r="H34" s="16" t="str">
        <f>LEFT(productsales_ID[[#This Row],[Product ID]],2)</f>
        <v>17</v>
      </c>
      <c r="I34" s="16" t="str">
        <f>RIGHT(productsales_ID[[#This Row],[Product ID]],2)</f>
        <v>IN</v>
      </c>
      <c r="J34" s="17" t="str">
        <f>MID(productsales_ID[[#This Row],[Product ID]],4,3)</f>
        <v>JUN</v>
      </c>
    </row>
    <row r="35" spans="1:11">
      <c r="A35" s="6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18" t="str">
        <f>IF(productsales_ID[[#This Row],[Price ($)]]&gt;=500,"High Price","Standard Price")</f>
        <v>Standard Price</v>
      </c>
      <c r="H35" s="18" t="str">
        <f>LEFT(productsales_ID[[#This Row],[Product ID]],2)</f>
        <v>09</v>
      </c>
      <c r="I35" s="18" t="str">
        <f>RIGHT(productsales_ID[[#This Row],[Product ID]],2)</f>
        <v>FR</v>
      </c>
      <c r="J35" s="17" t="str">
        <f>MID(productsales_ID[[#This Row],[Product ID]],4,3)</f>
        <v>JUL</v>
      </c>
    </row>
    <row r="38" spans="1:11">
      <c r="A38" s="7"/>
      <c r="B38" s="7"/>
    </row>
    <row r="39" spans="1:11">
      <c r="A39" s="7"/>
      <c r="B39" s="7"/>
      <c r="K39" s="8"/>
    </row>
    <row r="40" spans="1:11">
      <c r="A40" s="7"/>
      <c r="B40" s="7"/>
    </row>
    <row r="41" spans="1:11">
      <c r="A41" s="7"/>
      <c r="B41" s="7"/>
    </row>
    <row r="42" spans="1:11">
      <c r="A42" s="7"/>
      <c r="B42" s="7"/>
    </row>
    <row r="43" spans="1:11">
      <c r="A43" s="7"/>
      <c r="B43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productsales_ID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2026-05-31T10:45:33Z</dcterms:created>
  <dcterms:modified xsi:type="dcterms:W3CDTF">2026-06-05T05:14:46Z</dcterms:modified>
</cp:coreProperties>
</file>